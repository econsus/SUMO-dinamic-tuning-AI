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E:\Kuliah\Skripsi\Project\SUMO-dinamic-tuning-AI\"/>
    </mc:Choice>
  </mc:AlternateContent>
  <xr:revisionPtr revIDLastSave="0" documentId="13_ncr:1_{7ED36378-EC80-457F-B076-60C8BE9C00A5}" xr6:coauthVersionLast="47" xr6:coauthVersionMax="47" xr10:uidLastSave="{00000000-0000-0000-0000-000000000000}"/>
  <bookViews>
    <workbookView xWindow="-120" yWindow="-120" windowWidth="29040" windowHeight="15720" xr2:uid="{F9AC95A1-0791-4863-B684-AC15BB9D8B1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9" i="1" l="1"/>
  <c r="M9" i="1" s="1"/>
  <c r="G10" i="1"/>
  <c r="M10" i="1" s="1"/>
  <c r="G11" i="1"/>
  <c r="M11" i="1" s="1"/>
  <c r="G12" i="1"/>
  <c r="M12" i="1" s="1"/>
  <c r="G13" i="1"/>
  <c r="M13" i="1" s="1"/>
  <c r="G14" i="1"/>
  <c r="M14" i="1" s="1"/>
  <c r="G6" i="1"/>
  <c r="M6" i="1" s="1"/>
  <c r="H6" i="1"/>
  <c r="N6" i="1" s="1"/>
  <c r="I6" i="1"/>
  <c r="J6" i="1"/>
  <c r="K6" i="1"/>
  <c r="L6" i="1"/>
  <c r="H10" i="1"/>
  <c r="N10" i="1" s="1"/>
  <c r="I10" i="1"/>
  <c r="J10" i="1"/>
  <c r="K10" i="1"/>
  <c r="L10" i="1"/>
  <c r="H5" i="1"/>
  <c r="N5" i="1" s="1"/>
  <c r="H7" i="1"/>
  <c r="N7" i="1" s="1"/>
  <c r="H8" i="1"/>
  <c r="N8" i="1" s="1"/>
  <c r="H9" i="1"/>
  <c r="N9" i="1" s="1"/>
  <c r="H11" i="1"/>
  <c r="N11" i="1" s="1"/>
  <c r="H12" i="1"/>
  <c r="N12" i="1" s="1"/>
  <c r="H13" i="1"/>
  <c r="N13" i="1" s="1"/>
  <c r="H14" i="1"/>
  <c r="N14" i="1" s="1"/>
  <c r="G5" i="1"/>
  <c r="M5" i="1" s="1"/>
  <c r="G7" i="1"/>
  <c r="M7" i="1" s="1"/>
  <c r="G8" i="1"/>
  <c r="M8" i="1" s="1"/>
  <c r="G4" i="1"/>
  <c r="M4" i="1" s="1"/>
  <c r="H4" i="1"/>
  <c r="N4" i="1" s="1"/>
  <c r="H3" i="1"/>
  <c r="N3" i="1" s="1"/>
  <c r="G3" i="1"/>
  <c r="M3" i="1" s="1"/>
  <c r="I3" i="1"/>
  <c r="J3" i="1"/>
  <c r="K3" i="1"/>
  <c r="L3" i="1"/>
  <c r="I4" i="1"/>
  <c r="J4" i="1"/>
  <c r="K4" i="1"/>
  <c r="L4" i="1"/>
  <c r="I5" i="1"/>
  <c r="J5" i="1"/>
  <c r="K5" i="1"/>
  <c r="L5" i="1"/>
  <c r="I7" i="1"/>
  <c r="J7" i="1"/>
  <c r="K7" i="1"/>
  <c r="L7" i="1"/>
  <c r="I8" i="1"/>
  <c r="J8" i="1"/>
  <c r="K8" i="1"/>
  <c r="L8" i="1"/>
  <c r="I9" i="1"/>
  <c r="J9" i="1"/>
  <c r="K9" i="1"/>
  <c r="L9" i="1"/>
  <c r="I11" i="1"/>
  <c r="J11" i="1"/>
  <c r="K11" i="1"/>
  <c r="L11" i="1"/>
  <c r="I12" i="1"/>
  <c r="J12" i="1"/>
  <c r="K12" i="1"/>
  <c r="L12" i="1"/>
  <c r="I13" i="1"/>
  <c r="J13" i="1"/>
  <c r="K13" i="1"/>
  <c r="L13" i="1"/>
  <c r="I14" i="1"/>
  <c r="J14" i="1"/>
  <c r="K14" i="1"/>
  <c r="L14" i="1"/>
</calcChain>
</file>

<file path=xl/sharedStrings.xml><?xml version="1.0" encoding="utf-8"?>
<sst xmlns="http://schemas.openxmlformats.org/spreadsheetml/2006/main" count="32" uniqueCount="24">
  <si>
    <t>Selatan</t>
  </si>
  <si>
    <t>Utara</t>
  </si>
  <si>
    <t>Lurus</t>
  </si>
  <si>
    <t>Putar Balik</t>
  </si>
  <si>
    <t>Filename</t>
  </si>
  <si>
    <t>Waktu</t>
  </si>
  <si>
    <t>Output</t>
  </si>
  <si>
    <t>Senin Siang</t>
  </si>
  <si>
    <t>Senin Sore</t>
  </si>
  <si>
    <t>Selasa Siang</t>
  </si>
  <si>
    <t>Selasa Sore</t>
  </si>
  <si>
    <t>Rabu Siang</t>
  </si>
  <si>
    <t>Rabu Sore</t>
  </si>
  <si>
    <t>Jumat Sore</t>
  </si>
  <si>
    <t>Sabtu Sore</t>
  </si>
  <si>
    <t>Sabtu Malam</t>
  </si>
  <si>
    <t>Minggu Siang</t>
  </si>
  <si>
    <t>Minggu Sore</t>
  </si>
  <si>
    <t>Minggu Malam</t>
  </si>
  <si>
    <t>Dari Selatan</t>
  </si>
  <si>
    <t>Dari Utara</t>
  </si>
  <si>
    <t>Dari Selatan (Per Jam)</t>
  </si>
  <si>
    <t>Dari Utara (Per Jam)</t>
  </si>
  <si>
    <t>Output (Per Jam)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</si>
</sst>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1" xfId="0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70E8C-7A82-41D7-812A-B64711B5C69A}">
  <dimension ref="A1:N14"/>
  <sheetViews>
    <sheetView tabSelected="1" workbookViewId="0">
      <selection activeCell="A12" sqref="A12:XFD12"/>
    </sheetView>
  </sheetViews>
  <sheetFormatPr defaultRowHeight="15" x14ac:dyDescent="0.25"/>
  <cols>
    <col min="1" max="1" width="21.140625" customWidth="1"/>
    <col min="2" max="2" width="25.7109375" customWidth="1"/>
    <col min="3" max="6" width="17.42578125" customWidth="1"/>
    <col min="7" max="8" width="18.5703125" customWidth="1"/>
    <col min="9" max="12" width="17.42578125" customWidth="1"/>
    <col min="13" max="14" width="18.5703125" customWidth="1"/>
  </cols>
  <sheetData>
    <row r="1" spans="1:14" x14ac:dyDescent="0.25">
      <c r="A1" t="s">
        <v>5</v>
      </c>
      <c r="B1" s="4" t="s">
        <v>4</v>
      </c>
      <c r="C1" s="6" t="s">
        <v>19</v>
      </c>
      <c r="D1" s="3"/>
      <c r="E1" s="3" t="s">
        <v>20</v>
      </c>
      <c r="F1" s="3"/>
      <c r="G1" s="3" t="s">
        <v>6</v>
      </c>
      <c r="H1" s="3"/>
      <c r="I1" s="3" t="s">
        <v>21</v>
      </c>
      <c r="J1" s="3"/>
      <c r="K1" s="3" t="s">
        <v>22</v>
      </c>
      <c r="L1" s="3"/>
      <c r="M1" s="3" t="s">
        <v>23</v>
      </c>
      <c r="N1" s="3"/>
    </row>
    <row r="2" spans="1:14" x14ac:dyDescent="0.25">
      <c r="B2" s="5"/>
      <c r="C2" s="2" t="s">
        <v>2</v>
      </c>
      <c r="D2" s="1" t="s">
        <v>3</v>
      </c>
      <c r="E2" s="1" t="s">
        <v>2</v>
      </c>
      <c r="F2" s="1" t="s">
        <v>3</v>
      </c>
      <c r="G2" s="1" t="s">
        <v>0</v>
      </c>
      <c r="H2" s="1" t="s">
        <v>1</v>
      </c>
      <c r="I2" s="1" t="s">
        <v>2</v>
      </c>
      <c r="J2" s="1" t="s">
        <v>3</v>
      </c>
      <c r="K2" s="1" t="s">
        <v>2</v>
      </c>
      <c r="L2" s="1" t="s">
        <v>3</v>
      </c>
      <c r="M2" s="1" t="s">
        <v>0</v>
      </c>
      <c r="N2" s="1" t="s">
        <v>1</v>
      </c>
    </row>
    <row r="3" spans="1:14" x14ac:dyDescent="0.25">
      <c r="B3" s="1" t="s">
        <v>7</v>
      </c>
      <c r="C3" s="1">
        <v>130</v>
      </c>
      <c r="D3" s="1">
        <v>57</v>
      </c>
      <c r="E3" s="1">
        <v>160</v>
      </c>
      <c r="F3" s="1">
        <v>10</v>
      </c>
      <c r="G3" s="1">
        <f>E3+D3</f>
        <v>217</v>
      </c>
      <c r="H3" s="1">
        <f>C3+F3</f>
        <v>140</v>
      </c>
      <c r="I3" s="1">
        <f t="shared" ref="I3:I14" si="0">C3*6</f>
        <v>780</v>
      </c>
      <c r="J3" s="1">
        <f t="shared" ref="J3:J14" si="1">D3*6</f>
        <v>342</v>
      </c>
      <c r="K3" s="1">
        <f t="shared" ref="K3:K14" si="2">E3*6</f>
        <v>960</v>
      </c>
      <c r="L3" s="1">
        <f t="shared" ref="L3:L14" si="3">F3*6</f>
        <v>60</v>
      </c>
      <c r="M3" s="1">
        <f t="shared" ref="M3:M14" si="4">G3*6</f>
        <v>1302</v>
      </c>
      <c r="N3" s="1">
        <f t="shared" ref="N3:N14" si="5">H3*6</f>
        <v>840</v>
      </c>
    </row>
    <row r="4" spans="1:14" x14ac:dyDescent="0.25">
      <c r="B4" s="1" t="s">
        <v>8</v>
      </c>
      <c r="C4" s="1">
        <v>114</v>
      </c>
      <c r="D4" s="1">
        <v>56</v>
      </c>
      <c r="E4" s="1">
        <v>172</v>
      </c>
      <c r="F4" s="1">
        <v>6</v>
      </c>
      <c r="G4" s="1">
        <f>E4+D4</f>
        <v>228</v>
      </c>
      <c r="H4" s="1">
        <f>C4+F4</f>
        <v>120</v>
      </c>
      <c r="I4" s="1">
        <f t="shared" si="0"/>
        <v>684</v>
      </c>
      <c r="J4" s="1">
        <f t="shared" si="1"/>
        <v>336</v>
      </c>
      <c r="K4" s="1">
        <f t="shared" si="2"/>
        <v>1032</v>
      </c>
      <c r="L4" s="1">
        <f t="shared" si="3"/>
        <v>36</v>
      </c>
      <c r="M4" s="1">
        <f t="shared" si="4"/>
        <v>1368</v>
      </c>
      <c r="N4" s="1">
        <f t="shared" si="5"/>
        <v>720</v>
      </c>
    </row>
    <row r="5" spans="1:14" x14ac:dyDescent="0.25">
      <c r="B5" s="1" t="s">
        <v>9</v>
      </c>
      <c r="C5" s="1">
        <v>154</v>
      </c>
      <c r="D5" s="1">
        <v>82</v>
      </c>
      <c r="E5" s="1">
        <v>217</v>
      </c>
      <c r="F5" s="1">
        <v>14</v>
      </c>
      <c r="G5" s="1">
        <f t="shared" ref="G5:G14" si="6">E5+D5</f>
        <v>299</v>
      </c>
      <c r="H5" s="1">
        <f t="shared" ref="H5:H14" si="7">C5+F5</f>
        <v>168</v>
      </c>
      <c r="I5" s="1">
        <f t="shared" si="0"/>
        <v>924</v>
      </c>
      <c r="J5" s="1">
        <f t="shared" si="1"/>
        <v>492</v>
      </c>
      <c r="K5" s="1">
        <f t="shared" si="2"/>
        <v>1302</v>
      </c>
      <c r="L5" s="1">
        <f t="shared" si="3"/>
        <v>84</v>
      </c>
      <c r="M5" s="1">
        <f t="shared" si="4"/>
        <v>1794</v>
      </c>
      <c r="N5" s="1">
        <f t="shared" si="5"/>
        <v>1008</v>
      </c>
    </row>
    <row r="6" spans="1:14" x14ac:dyDescent="0.25">
      <c r="B6" s="1" t="s">
        <v>10</v>
      </c>
      <c r="C6" s="1">
        <v>122</v>
      </c>
      <c r="D6" s="1">
        <v>77</v>
      </c>
      <c r="E6" s="1">
        <v>171</v>
      </c>
      <c r="F6" s="1">
        <v>15</v>
      </c>
      <c r="G6" s="1">
        <f t="shared" ref="G6" si="8">E6+D6</f>
        <v>248</v>
      </c>
      <c r="H6" s="1">
        <f t="shared" ref="H6" si="9">C6+F6</f>
        <v>137</v>
      </c>
      <c r="I6" s="1">
        <f t="shared" ref="I6" si="10">C6*6</f>
        <v>732</v>
      </c>
      <c r="J6" s="1">
        <f t="shared" ref="J6" si="11">D6*6</f>
        <v>462</v>
      </c>
      <c r="K6" s="1">
        <f t="shared" ref="K6" si="12">E6*6</f>
        <v>1026</v>
      </c>
      <c r="L6" s="1">
        <f t="shared" ref="L6" si="13">F6*6</f>
        <v>90</v>
      </c>
      <c r="M6" s="1">
        <f t="shared" ref="M6" si="14">G6*6</f>
        <v>1488</v>
      </c>
      <c r="N6" s="1">
        <f t="shared" ref="N6" si="15">H6*6</f>
        <v>822</v>
      </c>
    </row>
    <row r="7" spans="1:14" x14ac:dyDescent="0.25">
      <c r="B7" s="1" t="s">
        <v>11</v>
      </c>
      <c r="C7" s="1">
        <v>101</v>
      </c>
      <c r="D7" s="1">
        <v>55</v>
      </c>
      <c r="E7" s="1">
        <v>143</v>
      </c>
      <c r="F7" s="1">
        <v>8</v>
      </c>
      <c r="G7" s="1">
        <f t="shared" si="6"/>
        <v>198</v>
      </c>
      <c r="H7" s="1">
        <f t="shared" si="7"/>
        <v>109</v>
      </c>
      <c r="I7" s="1">
        <f t="shared" si="0"/>
        <v>606</v>
      </c>
      <c r="J7" s="1">
        <f t="shared" si="1"/>
        <v>330</v>
      </c>
      <c r="K7" s="1">
        <f t="shared" si="2"/>
        <v>858</v>
      </c>
      <c r="L7" s="1">
        <f t="shared" si="3"/>
        <v>48</v>
      </c>
      <c r="M7" s="1">
        <f t="shared" si="4"/>
        <v>1188</v>
      </c>
      <c r="N7" s="1">
        <f t="shared" si="5"/>
        <v>654</v>
      </c>
    </row>
    <row r="8" spans="1:14" x14ac:dyDescent="0.25">
      <c r="B8" s="1" t="s">
        <v>12</v>
      </c>
      <c r="C8" s="1">
        <v>120</v>
      </c>
      <c r="D8" s="1">
        <v>64</v>
      </c>
      <c r="E8" s="1">
        <v>146</v>
      </c>
      <c r="F8" s="1">
        <v>8</v>
      </c>
      <c r="G8" s="1">
        <f t="shared" si="6"/>
        <v>210</v>
      </c>
      <c r="H8" s="1">
        <f t="shared" si="7"/>
        <v>128</v>
      </c>
      <c r="I8" s="1">
        <f t="shared" si="0"/>
        <v>720</v>
      </c>
      <c r="J8" s="1">
        <f t="shared" si="1"/>
        <v>384</v>
      </c>
      <c r="K8" s="1">
        <f t="shared" si="2"/>
        <v>876</v>
      </c>
      <c r="L8" s="1">
        <f t="shared" si="3"/>
        <v>48</v>
      </c>
      <c r="M8" s="1">
        <f t="shared" si="4"/>
        <v>1260</v>
      </c>
      <c r="N8" s="1">
        <f t="shared" si="5"/>
        <v>768</v>
      </c>
    </row>
    <row r="9" spans="1:14" x14ac:dyDescent="0.25">
      <c r="B9" s="1" t="s">
        <v>13</v>
      </c>
      <c r="C9" s="1">
        <v>152</v>
      </c>
      <c r="D9" s="1">
        <v>73</v>
      </c>
      <c r="E9" s="1">
        <v>135</v>
      </c>
      <c r="F9" s="1">
        <v>11</v>
      </c>
      <c r="G9" s="1">
        <f t="shared" si="6"/>
        <v>208</v>
      </c>
      <c r="H9" s="1">
        <f t="shared" si="7"/>
        <v>163</v>
      </c>
      <c r="I9" s="1">
        <f t="shared" si="0"/>
        <v>912</v>
      </c>
      <c r="J9" s="1">
        <f t="shared" si="1"/>
        <v>438</v>
      </c>
      <c r="K9" s="1">
        <f t="shared" si="2"/>
        <v>810</v>
      </c>
      <c r="L9" s="1">
        <f t="shared" si="3"/>
        <v>66</v>
      </c>
      <c r="M9" s="1">
        <f t="shared" si="4"/>
        <v>1248</v>
      </c>
      <c r="N9" s="1">
        <f t="shared" si="5"/>
        <v>978</v>
      </c>
    </row>
    <row r="10" spans="1:14" x14ac:dyDescent="0.25">
      <c r="B10" s="1" t="s">
        <v>14</v>
      </c>
      <c r="C10" s="1">
        <v>127</v>
      </c>
      <c r="D10" s="1">
        <v>64</v>
      </c>
      <c r="E10" s="1">
        <v>177</v>
      </c>
      <c r="F10" s="1">
        <v>8</v>
      </c>
      <c r="G10" s="1">
        <f t="shared" si="6"/>
        <v>241</v>
      </c>
      <c r="H10" s="1">
        <f t="shared" ref="H10" si="16">C10+F10</f>
        <v>135</v>
      </c>
      <c r="I10" s="1">
        <f t="shared" ref="I10" si="17">C10*6</f>
        <v>762</v>
      </c>
      <c r="J10" s="1">
        <f t="shared" ref="J10" si="18">D10*6</f>
        <v>384</v>
      </c>
      <c r="K10" s="1">
        <f t="shared" ref="K10" si="19">E10*6</f>
        <v>1062</v>
      </c>
      <c r="L10" s="1">
        <f t="shared" ref="L10" si="20">F10*6</f>
        <v>48</v>
      </c>
      <c r="M10" s="1">
        <f t="shared" ref="M10" si="21">G10*6</f>
        <v>1446</v>
      </c>
      <c r="N10" s="1">
        <f t="shared" ref="N10" si="22">H10*6</f>
        <v>810</v>
      </c>
    </row>
    <row r="11" spans="1:14" x14ac:dyDescent="0.25">
      <c r="B11" s="1" t="s">
        <v>15</v>
      </c>
      <c r="C11" s="1">
        <v>153</v>
      </c>
      <c r="D11" s="1">
        <v>69</v>
      </c>
      <c r="E11" s="1">
        <v>145</v>
      </c>
      <c r="F11" s="1">
        <v>10</v>
      </c>
      <c r="G11" s="1">
        <f t="shared" si="6"/>
        <v>214</v>
      </c>
      <c r="H11" s="1">
        <f t="shared" si="7"/>
        <v>163</v>
      </c>
      <c r="I11" s="1">
        <f t="shared" si="0"/>
        <v>918</v>
      </c>
      <c r="J11" s="1">
        <f t="shared" si="1"/>
        <v>414</v>
      </c>
      <c r="K11" s="1">
        <f t="shared" si="2"/>
        <v>870</v>
      </c>
      <c r="L11" s="1">
        <f t="shared" si="3"/>
        <v>60</v>
      </c>
      <c r="M11" s="1">
        <f t="shared" si="4"/>
        <v>1284</v>
      </c>
      <c r="N11" s="1">
        <f t="shared" si="5"/>
        <v>978</v>
      </c>
    </row>
    <row r="12" spans="1:14" x14ac:dyDescent="0.25">
      <c r="B12" s="1" t="s">
        <v>16</v>
      </c>
      <c r="C12" s="1">
        <v>137</v>
      </c>
      <c r="D12" s="1">
        <v>55</v>
      </c>
      <c r="E12" s="1">
        <v>215</v>
      </c>
      <c r="F12" s="1">
        <v>10</v>
      </c>
      <c r="G12" s="1">
        <f t="shared" si="6"/>
        <v>270</v>
      </c>
      <c r="H12" s="1">
        <f t="shared" si="7"/>
        <v>147</v>
      </c>
      <c r="I12" s="1">
        <f t="shared" si="0"/>
        <v>822</v>
      </c>
      <c r="J12" s="1">
        <f t="shared" si="1"/>
        <v>330</v>
      </c>
      <c r="K12" s="1">
        <f t="shared" si="2"/>
        <v>1290</v>
      </c>
      <c r="L12" s="1">
        <f t="shared" si="3"/>
        <v>60</v>
      </c>
      <c r="M12" s="1">
        <f t="shared" si="4"/>
        <v>1620</v>
      </c>
      <c r="N12" s="1">
        <f t="shared" si="5"/>
        <v>882</v>
      </c>
    </row>
    <row r="13" spans="1:14" x14ac:dyDescent="0.25">
      <c r="B13" s="1" t="s">
        <v>17</v>
      </c>
      <c r="C13" s="1">
        <v>140</v>
      </c>
      <c r="D13" s="1">
        <v>73</v>
      </c>
      <c r="E13" s="1">
        <v>181</v>
      </c>
      <c r="F13" s="1">
        <v>8</v>
      </c>
      <c r="G13" s="1">
        <f t="shared" si="6"/>
        <v>254</v>
      </c>
      <c r="H13" s="1">
        <f t="shared" si="7"/>
        <v>148</v>
      </c>
      <c r="I13" s="1">
        <f t="shared" si="0"/>
        <v>840</v>
      </c>
      <c r="J13" s="1">
        <f t="shared" si="1"/>
        <v>438</v>
      </c>
      <c r="K13" s="1">
        <f t="shared" si="2"/>
        <v>1086</v>
      </c>
      <c r="L13" s="1">
        <f t="shared" si="3"/>
        <v>48</v>
      </c>
      <c r="M13" s="1">
        <f t="shared" si="4"/>
        <v>1524</v>
      </c>
      <c r="N13" s="1">
        <f t="shared" si="5"/>
        <v>888</v>
      </c>
    </row>
    <row r="14" spans="1:14" x14ac:dyDescent="0.25">
      <c r="B14" s="1" t="s">
        <v>18</v>
      </c>
      <c r="C14" s="1">
        <v>121</v>
      </c>
      <c r="D14" s="1">
        <v>29</v>
      </c>
      <c r="E14" s="1">
        <v>87</v>
      </c>
      <c r="F14" s="1">
        <v>3</v>
      </c>
      <c r="G14" s="1">
        <f t="shared" si="6"/>
        <v>116</v>
      </c>
      <c r="H14" s="1">
        <f t="shared" si="7"/>
        <v>124</v>
      </c>
      <c r="I14" s="1">
        <f t="shared" si="0"/>
        <v>726</v>
      </c>
      <c r="J14" s="1">
        <f t="shared" si="1"/>
        <v>174</v>
      </c>
      <c r="K14" s="1">
        <f t="shared" si="2"/>
        <v>522</v>
      </c>
      <c r="L14" s="1">
        <f t="shared" si="3"/>
        <v>18</v>
      </c>
      <c r="M14" s="1">
        <f t="shared" si="4"/>
        <v>696</v>
      </c>
      <c r="N14" s="1">
        <f t="shared" si="5"/>
        <v>744</v>
      </c>
    </row>
  </sheetData>
  <mergeCells count="7">
    <mergeCell ref="M1:N1"/>
    <mergeCell ref="B1:B2"/>
    <mergeCell ref="C1:D1"/>
    <mergeCell ref="E1:F1"/>
    <mergeCell ref="G1:H1"/>
    <mergeCell ref="I1:J1"/>
    <mergeCell ref="K1:L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 Hammam Abid</dc:creator>
  <cp:lastModifiedBy>M Hammam Abid</cp:lastModifiedBy>
  <dcterms:created xsi:type="dcterms:W3CDTF">2026-05-23T06:53:21Z</dcterms:created>
  <dcterms:modified xsi:type="dcterms:W3CDTF">2026-07-13T12:34:07Z</dcterms:modified>
</cp:coreProperties>
</file>